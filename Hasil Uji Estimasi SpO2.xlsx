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S\MATKUL\Semester 7\Preliminary Research\"/>
    </mc:Choice>
  </mc:AlternateContent>
  <xr:revisionPtr revIDLastSave="0" documentId="13_ncr:1_{8CAB527B-214B-47D3-9516-1414A7497854}" xr6:coauthVersionLast="47" xr6:coauthVersionMax="47" xr10:uidLastSave="{00000000-0000-0000-0000-000000000000}"/>
  <bookViews>
    <workbookView xWindow="-108" yWindow="-108" windowWidth="23256" windowHeight="12456" xr2:uid="{3EE0F76F-0E2F-426F-B3B2-6FE927354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9" i="1"/>
  <c r="E20" i="1"/>
  <c r="E21" i="1"/>
  <c r="E22" i="1"/>
  <c r="E23" i="1"/>
  <c r="E24" i="1"/>
  <c r="E25" i="1"/>
  <c r="E6" i="1"/>
  <c r="E7" i="1"/>
  <c r="E8" i="1"/>
  <c r="E9" i="1"/>
  <c r="E10" i="1"/>
  <c r="E11" i="1"/>
  <c r="E12" i="1"/>
  <c r="E13" i="1"/>
  <c r="E14" i="1"/>
  <c r="E5" i="1"/>
  <c r="E26" i="1" l="1"/>
</calcChain>
</file>

<file path=xl/sharedStrings.xml><?xml version="1.0" encoding="utf-8"?>
<sst xmlns="http://schemas.openxmlformats.org/spreadsheetml/2006/main" count="27" uniqueCount="27">
  <si>
    <t>Data</t>
  </si>
  <si>
    <t>Estimated (%)</t>
  </si>
  <si>
    <t>Ground Truth (%)</t>
  </si>
  <si>
    <t>Error (%)</t>
  </si>
  <si>
    <t>s1_sit</t>
  </si>
  <si>
    <t>Oxygen Saturation Estimation</t>
  </si>
  <si>
    <t>s2_sit</t>
  </si>
  <si>
    <t>s3_sit</t>
  </si>
  <si>
    <t>s4_sit</t>
  </si>
  <si>
    <t>s5_sit</t>
  </si>
  <si>
    <t>s6_sit</t>
  </si>
  <si>
    <t>s7_sit</t>
  </si>
  <si>
    <t>s8_sit</t>
  </si>
  <si>
    <t>s9_sit</t>
  </si>
  <si>
    <t>s10_sit</t>
  </si>
  <si>
    <t>s11_sit</t>
  </si>
  <si>
    <t>s12_sit</t>
  </si>
  <si>
    <t>s13_sit</t>
  </si>
  <si>
    <t>s14_sit</t>
  </si>
  <si>
    <t>s15_sit</t>
  </si>
  <si>
    <t>s16_sit</t>
  </si>
  <si>
    <t>s17_sit</t>
  </si>
  <si>
    <t>s18_sit</t>
  </si>
  <si>
    <t>s19_sit</t>
  </si>
  <si>
    <t>s20_sit</t>
  </si>
  <si>
    <t>s21_sit</t>
  </si>
  <si>
    <t>Mean 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</si>
</sst>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E855-7386-4A46-A8BC-6FA33561E687}">
  <dimension ref="B3:E26"/>
  <sheetViews>
    <sheetView tabSelected="1" workbookViewId="0">
      <selection activeCell="F11" sqref="F11"/>
    </sheetView>
  </sheetViews>
  <sheetFormatPr defaultRowHeight="14.4" x14ac:dyDescent="0.3"/>
  <cols>
    <col min="2" max="2" width="11.6640625" customWidth="1"/>
    <col min="3" max="3" width="14.88671875" customWidth="1"/>
    <col min="4" max="4" width="16" customWidth="1"/>
    <col min="5" max="5" width="16.77734375" customWidth="1"/>
  </cols>
  <sheetData>
    <row r="3" spans="2:5" x14ac:dyDescent="0.3">
      <c r="B3" s="1" t="s">
        <v>5</v>
      </c>
      <c r="C3" s="1"/>
      <c r="D3" s="1"/>
      <c r="E3" s="1"/>
    </row>
    <row r="4" spans="2:5" x14ac:dyDescent="0.3">
      <c r="B4" s="2" t="s">
        <v>0</v>
      </c>
      <c r="C4" s="2" t="s">
        <v>1</v>
      </c>
      <c r="D4" s="2" t="s">
        <v>2</v>
      </c>
      <c r="E4" s="2" t="s">
        <v>3</v>
      </c>
    </row>
    <row r="5" spans="2:5" x14ac:dyDescent="0.3">
      <c r="B5" s="2" t="s">
        <v>4</v>
      </c>
      <c r="C5" s="3">
        <v>0.95750000000000002</v>
      </c>
      <c r="D5" s="3">
        <v>0.98</v>
      </c>
      <c r="E5" s="4">
        <f>ABS(C5-D5)</f>
        <v>2.2499999999999964E-2</v>
      </c>
    </row>
    <row r="6" spans="2:5" x14ac:dyDescent="0.3">
      <c r="B6" s="2" t="s">
        <v>6</v>
      </c>
      <c r="C6" s="3">
        <v>0.96099999999999997</v>
      </c>
      <c r="D6" s="3">
        <v>0.96</v>
      </c>
      <c r="E6" s="4">
        <f t="shared" ref="E6:E25" si="0">ABS(C6-D6)</f>
        <v>1.0000000000000009E-3</v>
      </c>
    </row>
    <row r="7" spans="2:5" x14ac:dyDescent="0.3">
      <c r="B7" s="2" t="s">
        <v>7</v>
      </c>
      <c r="C7" s="3">
        <v>0.99209999999999998</v>
      </c>
      <c r="D7" s="3">
        <v>0.97</v>
      </c>
      <c r="E7" s="4">
        <f t="shared" si="0"/>
        <v>2.2100000000000009E-2</v>
      </c>
    </row>
    <row r="8" spans="2:5" x14ac:dyDescent="0.3">
      <c r="B8" s="2" t="s">
        <v>8</v>
      </c>
      <c r="C8" s="3">
        <v>0.98080000000000001</v>
      </c>
      <c r="D8" s="3">
        <v>0.98</v>
      </c>
      <c r="E8" s="4">
        <f t="shared" si="0"/>
        <v>8.0000000000002292E-4</v>
      </c>
    </row>
    <row r="9" spans="2:5" x14ac:dyDescent="0.3">
      <c r="B9" s="2" t="s">
        <v>9</v>
      </c>
      <c r="C9" s="3">
        <v>0.95730000000000004</v>
      </c>
      <c r="D9" s="3">
        <v>0.97</v>
      </c>
      <c r="E9" s="4">
        <f t="shared" si="0"/>
        <v>1.2699999999999934E-2</v>
      </c>
    </row>
    <row r="10" spans="2:5" x14ac:dyDescent="0.3">
      <c r="B10" s="2" t="s">
        <v>10</v>
      </c>
      <c r="C10" s="3">
        <v>0.97770000000000001</v>
      </c>
      <c r="D10" s="3">
        <v>0.96</v>
      </c>
      <c r="E10" s="4">
        <f t="shared" si="0"/>
        <v>1.7700000000000049E-2</v>
      </c>
    </row>
    <row r="11" spans="2:5" x14ac:dyDescent="0.3">
      <c r="B11" s="2" t="s">
        <v>11</v>
      </c>
      <c r="C11" s="3">
        <v>1</v>
      </c>
      <c r="D11" s="3">
        <v>0.98</v>
      </c>
      <c r="E11" s="4">
        <f t="shared" si="0"/>
        <v>2.0000000000000018E-2</v>
      </c>
    </row>
    <row r="12" spans="2:5" x14ac:dyDescent="0.3">
      <c r="B12" s="2" t="s">
        <v>12</v>
      </c>
      <c r="C12" s="3">
        <v>0.93120000000000003</v>
      </c>
      <c r="D12" s="3">
        <v>0.97</v>
      </c>
      <c r="E12" s="4">
        <f t="shared" si="0"/>
        <v>3.8799999999999946E-2</v>
      </c>
    </row>
    <row r="13" spans="2:5" x14ac:dyDescent="0.3">
      <c r="B13" s="2" t="s">
        <v>13</v>
      </c>
      <c r="C13" s="3">
        <v>0.94289999999999996</v>
      </c>
      <c r="D13" s="3">
        <v>0.98</v>
      </c>
      <c r="E13" s="4">
        <f t="shared" si="0"/>
        <v>3.7100000000000022E-2</v>
      </c>
    </row>
    <row r="14" spans="2:5" x14ac:dyDescent="0.3">
      <c r="B14" s="2" t="s">
        <v>14</v>
      </c>
      <c r="C14" s="3">
        <v>0.98850000000000005</v>
      </c>
      <c r="D14" s="3">
        <v>0.98</v>
      </c>
      <c r="E14" s="4">
        <f t="shared" si="0"/>
        <v>8.5000000000000631E-3</v>
      </c>
    </row>
    <row r="15" spans="2:5" x14ac:dyDescent="0.3">
      <c r="B15" s="2" t="s">
        <v>15</v>
      </c>
      <c r="C15" s="3">
        <v>0.96719999999999995</v>
      </c>
      <c r="D15" s="3">
        <v>0.98</v>
      </c>
      <c r="E15" s="4">
        <f t="shared" si="0"/>
        <v>1.2800000000000034E-2</v>
      </c>
    </row>
    <row r="16" spans="2:5" x14ac:dyDescent="0.3">
      <c r="B16" s="2" t="s">
        <v>16</v>
      </c>
      <c r="C16" s="3">
        <v>0.98650000000000004</v>
      </c>
      <c r="D16" s="3">
        <v>0.97</v>
      </c>
      <c r="E16" s="4">
        <f t="shared" si="0"/>
        <v>1.650000000000007E-2</v>
      </c>
    </row>
    <row r="17" spans="2:5" x14ac:dyDescent="0.3">
      <c r="B17" s="2" t="s">
        <v>17</v>
      </c>
      <c r="C17" s="3">
        <v>0.99319999999999997</v>
      </c>
      <c r="D17" s="3">
        <v>0.97</v>
      </c>
      <c r="E17" s="4">
        <f t="shared" si="0"/>
        <v>2.3199999999999998E-2</v>
      </c>
    </row>
    <row r="18" spans="2:5" x14ac:dyDescent="0.3">
      <c r="B18" s="2" t="s">
        <v>18</v>
      </c>
      <c r="C18" s="3">
        <v>0.99960000000000004</v>
      </c>
      <c r="D18" s="3">
        <v>0.95</v>
      </c>
      <c r="E18" s="4">
        <f t="shared" si="0"/>
        <v>4.9600000000000088E-2</v>
      </c>
    </row>
    <row r="19" spans="2:5" x14ac:dyDescent="0.3">
      <c r="B19" s="2" t="s">
        <v>19</v>
      </c>
      <c r="C19" s="3">
        <v>0.95889999999999997</v>
      </c>
      <c r="D19" s="3">
        <v>0.98</v>
      </c>
      <c r="E19" s="4">
        <f t="shared" si="0"/>
        <v>2.1100000000000008E-2</v>
      </c>
    </row>
    <row r="20" spans="2:5" x14ac:dyDescent="0.3">
      <c r="B20" s="2" t="s">
        <v>20</v>
      </c>
      <c r="C20" s="3">
        <v>0.99009999999999998</v>
      </c>
      <c r="D20" s="3">
        <v>0.97</v>
      </c>
      <c r="E20" s="4">
        <f t="shared" si="0"/>
        <v>2.0100000000000007E-2</v>
      </c>
    </row>
    <row r="21" spans="2:5" x14ac:dyDescent="0.3">
      <c r="B21" s="2" t="s">
        <v>21</v>
      </c>
      <c r="C21" s="3">
        <v>0.94550000000000001</v>
      </c>
      <c r="D21" s="3">
        <v>0.97</v>
      </c>
      <c r="E21" s="4">
        <f t="shared" si="0"/>
        <v>2.4499999999999966E-2</v>
      </c>
    </row>
    <row r="22" spans="2:5" x14ac:dyDescent="0.3">
      <c r="B22" s="2" t="s">
        <v>22</v>
      </c>
      <c r="C22" s="3">
        <v>0.98540000000000005</v>
      </c>
      <c r="D22" s="3">
        <v>0.98</v>
      </c>
      <c r="E22" s="4">
        <f t="shared" si="0"/>
        <v>5.4000000000000714E-3</v>
      </c>
    </row>
    <row r="23" spans="2:5" x14ac:dyDescent="0.3">
      <c r="B23" s="2" t="s">
        <v>23</v>
      </c>
      <c r="C23" s="3">
        <v>1</v>
      </c>
      <c r="D23" s="3">
        <v>0.97</v>
      </c>
      <c r="E23" s="4">
        <f t="shared" si="0"/>
        <v>3.0000000000000027E-2</v>
      </c>
    </row>
    <row r="24" spans="2:5" x14ac:dyDescent="0.3">
      <c r="B24" s="2" t="s">
        <v>24</v>
      </c>
      <c r="C24" s="3">
        <v>0.98909999999999998</v>
      </c>
      <c r="D24" s="3">
        <v>0.97</v>
      </c>
      <c r="E24" s="4">
        <f t="shared" si="0"/>
        <v>1.9100000000000006E-2</v>
      </c>
    </row>
    <row r="25" spans="2:5" x14ac:dyDescent="0.3">
      <c r="B25" s="2" t="s">
        <v>25</v>
      </c>
      <c r="C25" s="3">
        <v>0.98429999999999995</v>
      </c>
      <c r="D25" s="3">
        <v>0.98</v>
      </c>
      <c r="E25" s="4">
        <f t="shared" si="0"/>
        <v>4.2999999999999705E-3</v>
      </c>
    </row>
    <row r="26" spans="2:5" x14ac:dyDescent="0.3">
      <c r="B26" s="5" t="s">
        <v>26</v>
      </c>
      <c r="C26" s="5"/>
      <c r="D26" s="5"/>
      <c r="E26" s="6">
        <f>AVERAGE(E5:E25)</f>
        <v>1.9419047619047631E-2</v>
      </c>
    </row>
  </sheetData>
  <mergeCells count="2">
    <mergeCell ref="B3:E3"/>
    <mergeCell ref="B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Nehemy Davis Suryanto</dc:creator>
  <cp:lastModifiedBy>Nehemy Davis Suryanto</cp:lastModifiedBy>
  <dcterms:created xsi:type="dcterms:W3CDTF">2025-12-13T08:47:17Z</dcterms:created>
  <dcterms:modified xsi:type="dcterms:W3CDTF">2025-12-13T09:07:35Z</dcterms:modified>
</cp:coreProperties>
</file>